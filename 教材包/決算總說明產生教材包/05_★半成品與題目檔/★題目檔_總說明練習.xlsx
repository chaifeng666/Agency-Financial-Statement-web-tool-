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★題目說明" sheetId="1" state="visible" r:id="rId3"/>
    <sheet name="作答區" sheetId="2" state="visible" r:id="rId4"/>
    <sheet name="題2驗算" sheetId="3" state="visible" r:id="rId5"/>
    <sheet name="題3驗算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<sst xmlns="http://schemas.openxmlformats.org/spreadsheetml/2006/main" count="66" uniqueCount="66">
  <si>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★題目檔　決算總說明產生練習</t>
  </si>
  <si>
    <r>
      <rPr>
        <sz val="11"/>
        <color rgb="FF000000"/>
        <rFont val="Noto Sans CJK SC"/>
        <family val="2"/>
      </rPr>
      <t xml:space="preserve">主計 </t>
    </r>
    <r>
      <rPr>
        <sz val="11"/>
        <color rgb="FF000000"/>
        <rFont val="微軟正黑體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應用與實作課程｜案例：決算總說明產生</t>
    </r>
  </si>
  <si>
    <r>
      <rPr>
        <sz val="11"/>
        <color rgb="FF000000"/>
        <rFont val="Noto Sans CJK SC"/>
        <family val="2"/>
      </rPr>
      <t xml:space="preserve">使用檔案：</t>
    </r>
    <r>
      <rPr>
        <sz val="11"/>
        <color rgb="FF000000"/>
        <rFont val="微軟正黑體"/>
        <family val="0"/>
        <charset val="1"/>
      </rPr>
      <t xml:space="preserve">04_</t>
    </r>
    <r>
      <rPr>
        <sz val="11"/>
        <color rgb="FF000000"/>
        <rFont val="Noto Sans CJK SC"/>
        <family val="2"/>
      </rPr>
      <t xml:space="preserve">成果檔／</t>
    </r>
    <r>
      <rPr>
        <sz val="11"/>
        <color rgb="FF000000"/>
        <rFont val="微軟正黑體"/>
        <family val="0"/>
        <charset val="1"/>
      </rPr>
      <t xml:space="preserve">01_</t>
    </r>
    <r>
      <rPr>
        <sz val="11"/>
        <color rgb="FF000000"/>
        <rFont val="Noto Sans CJK SC"/>
        <family val="2"/>
      </rPr>
      <t xml:space="preserve">工具／總說明產生工具</t>
    </r>
    <r>
      <rPr>
        <sz val="11"/>
        <color rgb="FF000000"/>
        <rFont val="微軟正黑體"/>
        <family val="0"/>
        <charset val="1"/>
      </rPr>
      <t xml:space="preserve">.html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微軟正黑體"/>
        <family val="0"/>
        <charset val="1"/>
      </rPr>
      <t xml:space="preserve">03_</t>
    </r>
    <r>
      <rPr>
        <sz val="11"/>
        <color rgb="FF000000"/>
        <rFont val="Noto Sans CJK SC"/>
        <family val="2"/>
      </rPr>
      <t xml:space="preserve">素材、</t>
    </r>
    <r>
      <rPr>
        <sz val="11"/>
        <color rgb="FF000000"/>
        <rFont val="微軟正黑體"/>
        <family val="0"/>
        <charset val="1"/>
      </rPr>
      <t xml:space="preserve">05_★</t>
    </r>
    <r>
      <rPr>
        <sz val="11"/>
        <color rgb="FF000000"/>
        <rFont val="Noto Sans CJK SC"/>
        <family val="2"/>
      </rPr>
      <t xml:space="preserve">半成品與題目檔／練習素材</t>
    </r>
  </si>
  <si>
    <t xml:space="preserve">【圖例】黃底＝請填寫；淺藍底＝範例列（已填好，示範格式）；其餘格子為公式，請勿修改。</t>
  </si>
  <si>
    <r>
      <rPr>
        <sz val="11"/>
        <color rgb="FF000000"/>
        <rFont val="Noto Sans CJK SC"/>
        <family val="2"/>
      </rPr>
      <t xml:space="preserve">題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　找位置（作答區）：用工具步驟 </t>
    </r>
    <r>
      <rPr>
        <sz val="11"/>
        <color rgb="FF000000"/>
        <rFont val="微軟正黑體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上傳 </t>
    </r>
    <r>
      <rPr>
        <sz val="11"/>
        <color rgb="FF000000"/>
        <rFont val="微軟正黑體"/>
        <family val="0"/>
        <charset val="1"/>
      </rPr>
      <t xml:space="preserve">113</t>
    </r>
    <r>
      <rPr>
        <sz val="11"/>
        <color rgb="FF000000"/>
        <rFont val="Noto Sans CJK SC"/>
        <family val="2"/>
      </rPr>
      <t xml:space="preserve">年度決算書</t>
    </r>
    <r>
      <rPr>
        <sz val="11"/>
        <color rgb="FF000000"/>
        <rFont val="微軟正黑體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定稿</t>
    </r>
    <r>
      <rPr>
        <sz val="11"/>
        <color rgb="FF000000"/>
        <rFont val="微軟正黑體"/>
        <family val="0"/>
        <charset val="1"/>
      </rPr>
      <t xml:space="preserve">.pdf</t>
    </r>
    <r>
      <rPr>
        <sz val="11"/>
        <color rgb="FF000000"/>
        <rFont val="Noto Sans CJK SC"/>
        <family val="2"/>
      </rPr>
      <t xml:space="preserve">，找出 </t>
    </r>
    <r>
      <rPr>
        <sz val="11"/>
        <color rgb="FF000000"/>
        <rFont val="微軟正黑體"/>
        <family val="0"/>
        <charset val="1"/>
      </rPr>
      <t xml:space="preserve">5 </t>
    </r>
    <r>
      <rPr>
        <sz val="11"/>
        <color rgb="FF000000"/>
        <rFont val="Noto Sans CJK SC"/>
        <family val="2"/>
      </rPr>
      <t xml:space="preserve">個數字出現的書表與目次頁碼；沒有直接出現的寫出計算式。</t>
    </r>
  </si>
  <si>
    <r>
      <rPr>
        <sz val="11"/>
        <color rgb="FF000000"/>
        <rFont val="Noto Sans CJK SC"/>
        <family val="2"/>
      </rPr>
      <t xml:space="preserve">題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　比率驗算（題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驗算）：輸入 </t>
    </r>
    <r>
      <rPr>
        <sz val="11"/>
        <color rgb="FF000000"/>
        <rFont val="微軟正黑體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個工作計畫的預算數合計、實現數、保留數（取自 </t>
    </r>
    <r>
      <rPr>
        <sz val="11"/>
        <color rgb="FF000000"/>
        <rFont val="微軟正黑體"/>
        <family val="0"/>
        <charset val="1"/>
      </rPr>
      <t xml:space="preserve">114 </t>
    </r>
    <r>
      <rPr>
        <sz val="11"/>
        <color rgb="FF000000"/>
        <rFont val="Noto Sans CJK SC"/>
        <family val="2"/>
      </rPr>
      <t xml:space="preserve">歲出機關別決算表），核對比率與賸餘數是否與工具產生的總說明相同。</t>
    </r>
  </si>
  <si>
    <r>
      <rPr>
        <sz val="11"/>
        <color rgb="FF000000"/>
        <rFont val="Noto Sans CJK SC"/>
        <family val="2"/>
      </rPr>
      <t xml:space="preserve">題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　變動判斷（題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驗算）：輸入 </t>
    </r>
    <r>
      <rPr>
        <sz val="11"/>
        <color rgb="FF000000"/>
        <rFont val="微軟正黑體"/>
        <family val="0"/>
        <charset val="1"/>
      </rPr>
      <t xml:space="preserve">5 </t>
    </r>
    <r>
      <rPr>
        <sz val="11"/>
        <color rgb="FF000000"/>
        <rFont val="Noto Sans CJK SC"/>
        <family val="2"/>
      </rPr>
      <t xml:space="preserve">個平衡表科目的本年度、上年度數字（固定資產請用原值＋累計折舊之淨額），看是否須說明。門檻可在 </t>
    </r>
    <r>
      <rPr>
        <sz val="11"/>
        <color rgb="FF000000"/>
        <rFont val="微軟正黑體"/>
        <family val="0"/>
        <charset val="1"/>
      </rPr>
      <t xml:space="preserve">B3 </t>
    </r>
    <r>
      <rPr>
        <sz val="11"/>
        <color rgb="FF000000"/>
        <rFont val="Noto Sans CJK SC"/>
        <family val="2"/>
      </rPr>
      <t xml:space="preserve">調整。</t>
    </r>
  </si>
  <si>
    <r>
      <rPr>
        <sz val="11"/>
        <color rgb="FF000000"/>
        <rFont val="Noto Sans CJK SC"/>
        <family val="2"/>
      </rPr>
      <t xml:space="preserve">題</t>
    </r>
    <r>
      <rPr>
        <sz val="11"/>
        <color rgb="FF000000"/>
        <rFont val="微軟正黑體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　找疑義（作答區）：工具步驟 </t>
    </r>
    <r>
      <rPr>
        <sz val="11"/>
        <color rgb="FF000000"/>
        <rFont val="微軟正黑體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改匯入「練習用系統檔（</t>
    </r>
    <r>
      <rPr>
        <sz val="11"/>
        <color rgb="FF000000"/>
        <rFont val="微軟正黑體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個，含</t>
    </r>
    <r>
      <rPr>
        <sz val="11"/>
        <color rgb="FF000000"/>
        <rFont val="微軟正黑體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處疑義）」，到步驟 </t>
    </r>
    <r>
      <rPr>
        <sz val="11"/>
        <color rgb="FF000000"/>
        <rFont val="微軟正黑體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找出不符的檢核項目，寫出差額、總說明哪一句跟著變、應如何處理。</t>
    </r>
  </si>
  <si>
    <r>
      <rPr>
        <sz val="11"/>
        <color rgb="FF000000"/>
        <rFont val="Noto Sans CJK SC"/>
        <family val="2"/>
      </rPr>
      <t xml:space="preserve">題</t>
    </r>
    <r>
      <rPr>
        <sz val="11"/>
        <color rgb="FF000000"/>
        <rFont val="微軟正黑體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　接續半成品（作答區）：打開「★半成品</t>
    </r>
    <r>
      <rPr>
        <sz val="11"/>
        <color rgb="FF000000"/>
        <rFont val="微軟正黑體"/>
        <family val="0"/>
        <charset val="1"/>
      </rPr>
      <t xml:space="preserve">_114</t>
    </r>
    <r>
      <rPr>
        <sz val="11"/>
        <color rgb="FF000000"/>
        <rFont val="Noto Sans CJK SC"/>
        <family val="2"/>
      </rPr>
      <t xml:space="preserve">年度總說明（只差補</t>
    </r>
    <r>
      <rPr>
        <sz val="11"/>
        <color rgb="FF000000"/>
        <rFont val="微軟正黑體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處文字）</t>
    </r>
    <r>
      <rPr>
        <sz val="11"/>
        <color rgb="FF000000"/>
        <rFont val="微軟正黑體"/>
        <family val="0"/>
        <charset val="1"/>
      </rPr>
      <t xml:space="preserve">.docx</t>
    </r>
    <r>
      <rPr>
        <sz val="11"/>
        <color rgb="FF000000"/>
        <rFont val="Noto Sans CJK SC"/>
        <family val="2"/>
      </rPr>
      <t xml:space="preserve">」，補完 </t>
    </r>
    <r>
      <rPr>
        <sz val="11"/>
        <color rgb="FF000000"/>
        <rFont val="微軟正黑體"/>
        <family val="0"/>
        <charset val="1"/>
      </rPr>
      <t xml:space="preserve">6 </t>
    </r>
    <r>
      <rPr>
        <sz val="11"/>
        <color rgb="FF000000"/>
        <rFont val="Noto Sans CJK SC"/>
        <family val="2"/>
      </rPr>
      <t xml:space="preserve">處黃底紅字，刪除標示後存檔繳交。</t>
    </r>
  </si>
  <si>
    <r>
      <rPr>
        <sz val="11"/>
        <color rgb="FF000000"/>
        <rFont val="Noto Sans CJK SC"/>
        <family val="2"/>
      </rPr>
      <t xml:space="preserve">繳交：本檔（作答區、題</t>
    </r>
    <r>
      <rPr>
        <sz val="11"/>
        <color rgb="FF000000"/>
        <rFont val="微軟正黑體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驗算、題</t>
    </r>
    <r>
      <rPr>
        <sz val="11"/>
        <color rgb="FF000000"/>
        <rFont val="微軟正黑體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驗算）＋題</t>
    </r>
    <r>
      <rPr>
        <sz val="11"/>
        <color rgb="FF000000"/>
        <rFont val="微軟正黑體"/>
        <family val="0"/>
        <charset val="1"/>
      </rPr>
      <t xml:space="preserve">5 </t>
    </r>
    <r>
      <rPr>
        <sz val="11"/>
        <color rgb="FF000000"/>
        <rFont val="Noto Sans CJK SC"/>
        <family val="2"/>
      </rPr>
      <t xml:space="preserve">的 </t>
    </r>
    <r>
      <rPr>
        <sz val="11"/>
        <color rgb="FF000000"/>
        <rFont val="微軟正黑體"/>
        <family val="0"/>
        <charset val="1"/>
      </rPr>
      <t xml:space="preserve">Word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</si>
  <si>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Noto Sans CJK SC"/>
        <family val="2"/>
      </rPr>
      <t xml:space="preserve">說明：素材數字取自公開決算書表，供教學示範；</t>
    </r>
    <r>
      <rPr>
        <sz val="11"/>
        <color rgb="FF000000"/>
        <rFont val="微軟正黑體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與工具產出均須人工複核，以系統產製檔為準。</t>
    </r>
  </si>
  <si>
    <t xml:space="preserve">作答區</t>
  </si>
  <si>
    <r>
      <rPr>
        <b val="true"/>
        <sz val="11"/>
        <color rgb="FF000000"/>
        <rFont val="Noto Sans CJK SC"/>
        <family val="2"/>
      </rPr>
      <t xml:space="preserve">題</t>
    </r>
    <r>
      <rPr>
        <b val="true"/>
        <sz val="11"/>
        <color rgb="FF000000"/>
        <rFont val="微軟正黑體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　找位置</t>
    </r>
  </si>
  <si>
    <t xml:space="preserve">序</t>
  </si>
  <si>
    <t xml:space="preserve">總說明數字</t>
  </si>
  <si>
    <t xml:space="preserve">總說明段落（提示）</t>
  </si>
  <si>
    <t xml:space="preserve">出現的書表（表名）</t>
  </si>
  <si>
    <t xml:space="preserve">目次頁碼</t>
  </si>
  <si>
    <t xml:space="preserve">若未直接出現：計算式</t>
  </si>
  <si>
    <t xml:space="preserve">53,083,729</t>
  </si>
  <si>
    <r>
      <rPr>
        <sz val="11"/>
        <color rgb="FF000000"/>
        <rFont val="Noto Sans CJK SC"/>
        <family val="2"/>
      </rPr>
      <t xml:space="preserve">一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一</t>
    </r>
    <r>
      <rPr>
        <sz val="11"/>
        <color rgb="FF000000"/>
        <rFont val="微軟正黑體"/>
        <family val="0"/>
        <charset val="1"/>
      </rPr>
      <t xml:space="preserve">)2 </t>
    </r>
    <r>
      <rPr>
        <sz val="11"/>
        <color rgb="FF000000"/>
        <rFont val="Noto Sans CJK SC"/>
        <family val="2"/>
      </rPr>
      <t xml:space="preserve">歲出部分 保留數</t>
    </r>
  </si>
  <si>
    <t xml:space="preserve">74,052,472</t>
  </si>
  <si>
    <r>
      <rPr>
        <sz val="11"/>
        <color rgb="FF000000"/>
        <rFont val="微軟正黑體"/>
        <family val="0"/>
        <charset val="1"/>
      </rPr>
      <t xml:space="preserve">(11)</t>
    </r>
    <r>
      <rPr>
        <sz val="11"/>
        <color rgb="FF000000"/>
        <rFont val="Noto Sans CJK SC"/>
        <family val="2"/>
      </rPr>
      <t xml:space="preserve">統籌科目 公務人員退休撫卹給付 庫撥數</t>
    </r>
  </si>
  <si>
    <t xml:space="preserve">22,934,507</t>
  </si>
  <si>
    <r>
      <rPr>
        <sz val="11"/>
        <color rgb="FF000000"/>
        <rFont val="Noto Sans CJK SC"/>
        <family val="2"/>
      </rPr>
      <t xml:space="preserve">一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二</t>
    </r>
    <r>
      <rPr>
        <sz val="11"/>
        <color rgb="FF000000"/>
        <rFont val="微軟正黑體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以前年度歲出保留</t>
    </r>
  </si>
  <si>
    <t xml:space="preserve">668,969</t>
  </si>
  <si>
    <r>
      <rPr>
        <sz val="11"/>
        <color rgb="FF000000"/>
        <rFont val="Noto Sans CJK SC"/>
        <family val="2"/>
      </rPr>
      <t xml:space="preserve">一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三</t>
    </r>
    <r>
      <rPr>
        <sz val="11"/>
        <color rgb="FF000000"/>
        <rFont val="微軟正黑體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土地改良物</t>
    </r>
  </si>
  <si>
    <t xml:space="preserve">20.89%</t>
  </si>
  <si>
    <r>
      <rPr>
        <sz val="11"/>
        <color rgb="FF000000"/>
        <rFont val="Noto Sans CJK SC"/>
        <family val="2"/>
      </rPr>
      <t xml:space="preserve">二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一</t>
    </r>
    <r>
      <rPr>
        <sz val="11"/>
        <color rgb="FF000000"/>
        <rFont val="微軟正黑體"/>
        <family val="0"/>
        <charset val="1"/>
      </rPr>
      <t xml:space="preserve">)2 </t>
    </r>
    <r>
      <rPr>
        <sz val="11"/>
        <color rgb="FF000000"/>
        <rFont val="Noto Sans CJK SC"/>
        <family val="2"/>
      </rPr>
      <t xml:space="preserve">機械及設備 增加比率</t>
    </r>
  </si>
  <si>
    <r>
      <rPr>
        <b val="true"/>
        <sz val="11"/>
        <color rgb="FF000000"/>
        <rFont val="Noto Sans CJK SC"/>
        <family val="2"/>
      </rPr>
      <t xml:space="preserve">題</t>
    </r>
    <r>
      <rPr>
        <b val="true"/>
        <sz val="11"/>
        <color rgb="FF000000"/>
        <rFont val="微軟正黑體"/>
        <family val="0"/>
        <charset val="1"/>
      </rPr>
      <t xml:space="preserve">4</t>
    </r>
    <r>
      <rPr>
        <b val="true"/>
        <sz val="11"/>
        <color rgb="FF000000"/>
        <rFont val="Noto Sans CJK SC"/>
        <family val="2"/>
      </rPr>
      <t xml:space="preserve">　找疑義</t>
    </r>
  </si>
  <si>
    <t xml:space="preserve">不符的檢核項目</t>
  </si>
  <si>
    <t xml:space="preserve">左式／右式／差額</t>
  </si>
  <si>
    <t xml:space="preserve">總說明哪一句跟著變（寫出變動前後）</t>
  </si>
  <si>
    <t xml:space="preserve">應如何處理</t>
  </si>
  <si>
    <r>
      <rPr>
        <b val="true"/>
        <sz val="11"/>
        <color rgb="FF000000"/>
        <rFont val="Noto Sans CJK SC"/>
        <family val="2"/>
      </rPr>
      <t xml:space="preserve">題</t>
    </r>
    <r>
      <rPr>
        <b val="true"/>
        <sz val="11"/>
        <color rgb="FF000000"/>
        <rFont val="微軟正黑體"/>
        <family val="0"/>
        <charset val="1"/>
      </rPr>
      <t xml:space="preserve">5</t>
    </r>
    <r>
      <rPr>
        <b val="true"/>
        <sz val="11"/>
        <color rgb="FF000000"/>
        <rFont val="Noto Sans CJK SC"/>
        <family val="2"/>
      </rPr>
      <t xml:space="preserve">　接續半成品</t>
    </r>
  </si>
  <si>
    <r>
      <rPr>
        <b val="true"/>
        <sz val="11"/>
        <color rgb="FF000000"/>
        <rFont val="Noto Sans CJK SC"/>
        <family val="2"/>
      </rPr>
      <t xml:space="preserve">補了哪 </t>
    </r>
    <r>
      <rPr>
        <b val="true"/>
        <sz val="11"/>
        <color rgb="FF000000"/>
        <rFont val="微軟正黑體"/>
        <family val="0"/>
        <charset val="1"/>
      </rPr>
      <t xml:space="preserve">6 </t>
    </r>
    <r>
      <rPr>
        <b val="true"/>
        <sz val="11"/>
        <color rgb="FF000000"/>
        <rFont val="Noto Sans CJK SC"/>
        <family val="2"/>
      </rPr>
      <t xml:space="preserve">處（簡述）</t>
    </r>
  </si>
  <si>
    <r>
      <rPr>
        <b val="true"/>
        <sz val="11"/>
        <color rgb="FF000000"/>
        <rFont val="Noto Sans CJK SC"/>
        <family val="2"/>
      </rPr>
      <t xml:space="preserve">繳交的 </t>
    </r>
    <r>
      <rPr>
        <b val="true"/>
        <sz val="11"/>
        <color rgb="FF000000"/>
        <rFont val="微軟正黑體"/>
        <family val="0"/>
        <charset val="1"/>
      </rPr>
      <t xml:space="preserve">Word </t>
    </r>
    <r>
      <rPr>
        <b val="true"/>
        <sz val="11"/>
        <color rgb="FF000000"/>
        <rFont val="Noto Sans CJK SC"/>
        <family val="2"/>
      </rPr>
      <t xml:space="preserve">檔名</t>
    </r>
  </si>
  <si>
    <r>
      <rPr>
        <b val="true"/>
        <sz val="14"/>
        <color rgb="FFC00000"/>
        <rFont val="Noto Sans CJK SC"/>
        <family val="2"/>
      </rPr>
      <t xml:space="preserve">題</t>
    </r>
    <r>
      <rPr>
        <b val="true"/>
        <sz val="14"/>
        <color rgb="FFC00000"/>
        <rFont val="微軟正黑體"/>
        <family val="0"/>
        <charset val="1"/>
      </rPr>
      <t xml:space="preserve">2</t>
    </r>
    <r>
      <rPr>
        <b val="true"/>
        <sz val="14"/>
        <color rgb="FFC00000"/>
        <rFont val="Noto Sans CJK SC"/>
        <family val="2"/>
      </rPr>
      <t xml:space="preserve">　工作計畫比率驗算（取自 </t>
    </r>
    <r>
      <rPr>
        <b val="true"/>
        <sz val="14"/>
        <color rgb="FFC00000"/>
        <rFont val="微軟正黑體"/>
        <family val="0"/>
        <charset val="1"/>
      </rPr>
      <t xml:space="preserve">114 </t>
    </r>
    <r>
      <rPr>
        <b val="true"/>
        <sz val="14"/>
        <color rgb="FFC00000"/>
        <rFont val="Noto Sans CJK SC"/>
        <family val="2"/>
      </rPr>
      <t xml:space="preserve">年度歲出機關別決算表）</t>
    </r>
  </si>
  <si>
    <t xml:space="preserve">工作計畫</t>
  </si>
  <si>
    <r>
      <rPr>
        <b val="true"/>
        <sz val="11"/>
        <color rgb="FF000000"/>
        <rFont val="Noto Sans CJK SC"/>
        <family val="2"/>
      </rPr>
      <t xml:space="preserve">預算數合計</t>
    </r>
    <r>
      <rPr>
        <b val="true"/>
        <sz val="11"/>
        <color rgb="FF000000"/>
        <rFont val="微軟正黑體"/>
        <family val="0"/>
        <charset val="1"/>
      </rPr>
      <t xml:space="preserve">(1)</t>
    </r>
  </si>
  <si>
    <t xml:space="preserve">決算實現數</t>
  </si>
  <si>
    <t xml:space="preserve">保留數</t>
  </si>
  <si>
    <r>
      <rPr>
        <b val="true"/>
        <sz val="11"/>
        <color rgb="FF000000"/>
        <rFont val="Noto Sans CJK SC"/>
        <family val="2"/>
      </rPr>
      <t xml:space="preserve">合共</t>
    </r>
    <r>
      <rPr>
        <b val="true"/>
        <sz val="11"/>
        <color rgb="FF000000"/>
        <rFont val="微軟正黑體"/>
        <family val="0"/>
        <charset val="1"/>
      </rPr>
      <t xml:space="preserve">(2)</t>
    </r>
  </si>
  <si>
    <r>
      <rPr>
        <b val="true"/>
        <sz val="11"/>
        <color rgb="FF000000"/>
        <rFont val="Noto Sans CJK SC"/>
        <family val="2"/>
      </rPr>
      <t xml:space="preserve">占預算數比率</t>
    </r>
    <r>
      <rPr>
        <b val="true"/>
        <sz val="11"/>
        <color rgb="FF000000"/>
        <rFont val="微軟正黑體"/>
        <family val="0"/>
        <charset val="1"/>
      </rPr>
      <t xml:space="preserve">(%)</t>
    </r>
  </si>
  <si>
    <t xml:space="preserve">賸餘數</t>
  </si>
  <si>
    <t xml:space="preserve">總說明寫法</t>
  </si>
  <si>
    <t xml:space="preserve">一般行政（範例）</t>
  </si>
  <si>
    <t xml:space="preserve">國勢普查業務</t>
  </si>
  <si>
    <r>
      <rPr>
        <sz val="11"/>
        <color rgb="FF000000"/>
        <rFont val="微軟正黑體"/>
        <family val="0"/>
        <charset val="1"/>
      </rPr>
      <t xml:space="preserve">I. </t>
    </r>
    <r>
      <rPr>
        <sz val="11"/>
        <color rgb="FF000000"/>
        <rFont val="Noto Sans CJK SC"/>
        <family val="2"/>
      </rPr>
      <t xml:space="preserve">營建工程</t>
    </r>
  </si>
  <si>
    <t xml:space="preserve">中央總預算核編及執行</t>
  </si>
  <si>
    <r>
      <rPr>
        <sz val="10"/>
        <color rgb="FF595959"/>
        <rFont val="Noto Sans CJK SC"/>
        <family val="2"/>
      </rPr>
      <t xml:space="preserve">說明：比率＝</t>
    </r>
    <r>
      <rPr>
        <sz val="10"/>
        <color rgb="FF595959"/>
        <rFont val="微軟正黑體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實現數＋保留數</t>
    </r>
    <r>
      <rPr>
        <sz val="10"/>
        <color rgb="FF595959"/>
        <rFont val="微軟正黑體"/>
        <family val="0"/>
        <charset val="1"/>
      </rPr>
      <t xml:space="preserve">)÷</t>
    </r>
    <r>
      <rPr>
        <sz val="10"/>
        <color rgb="FF595959"/>
        <rFont val="Noto Sans CJK SC"/>
        <family val="2"/>
      </rPr>
      <t xml:space="preserve">預算數合計</t>
    </r>
    <r>
      <rPr>
        <sz val="10"/>
        <color rgb="FF595959"/>
        <rFont val="微軟正黑體"/>
        <family val="0"/>
        <charset val="1"/>
      </rPr>
      <t xml:space="preserve">×100</t>
    </r>
    <r>
      <rPr>
        <sz val="10"/>
        <color rgb="FF595959"/>
        <rFont val="Noto Sans CJK SC"/>
        <family val="2"/>
      </rPr>
      <t xml:space="preserve">，四捨五入至小數 </t>
    </r>
    <r>
      <rPr>
        <sz val="10"/>
        <color rgb="FF595959"/>
        <rFont val="微軟正黑體"/>
        <family val="0"/>
        <charset val="1"/>
      </rPr>
      <t xml:space="preserve">2 </t>
    </r>
    <r>
      <rPr>
        <sz val="10"/>
        <color rgb="FF595959"/>
        <rFont val="Noto Sans CJK SC"/>
        <family val="2"/>
      </rPr>
      <t xml:space="preserve">位；預算數合計已含動支第一預備金。</t>
    </r>
  </si>
  <si>
    <r>
      <rPr>
        <b val="true"/>
        <sz val="14"/>
        <color rgb="FFC00000"/>
        <rFont val="Noto Sans CJK SC"/>
        <family val="2"/>
      </rPr>
      <t xml:space="preserve">題</t>
    </r>
    <r>
      <rPr>
        <b val="true"/>
        <sz val="14"/>
        <color rgb="FFC00000"/>
        <rFont val="微軟正黑體"/>
        <family val="0"/>
        <charset val="1"/>
      </rPr>
      <t xml:space="preserve">3</t>
    </r>
    <r>
      <rPr>
        <b val="true"/>
        <sz val="14"/>
        <color rgb="FFC00000"/>
        <rFont val="Noto Sans CJK SC"/>
        <family val="2"/>
      </rPr>
      <t xml:space="preserve">　平衡表變動判斷（取自 </t>
    </r>
    <r>
      <rPr>
        <b val="true"/>
        <sz val="14"/>
        <color rgb="FFC00000"/>
        <rFont val="微軟正黑體"/>
        <family val="0"/>
        <charset val="1"/>
      </rPr>
      <t xml:space="preserve">114 </t>
    </r>
    <r>
      <rPr>
        <b val="true"/>
        <sz val="14"/>
        <color rgb="FFC00000"/>
        <rFont val="Noto Sans CJK SC"/>
        <family val="2"/>
      </rPr>
      <t xml:space="preserve">年度平衡表）</t>
    </r>
  </si>
  <si>
    <t xml:space="preserve">須說明門檻</t>
  </si>
  <si>
    <t xml:space="preserve">科目</t>
  </si>
  <si>
    <t xml:space="preserve">本年度</t>
  </si>
  <si>
    <t xml:space="preserve">上年度</t>
  </si>
  <si>
    <t xml:space="preserve">增減數</t>
  </si>
  <si>
    <t xml:space="preserve">增減比率</t>
  </si>
  <si>
    <t xml:space="preserve">判定</t>
  </si>
  <si>
    <t xml:space="preserve">土地（範例）</t>
  </si>
  <si>
    <r>
      <rPr>
        <sz val="11"/>
        <color rgb="FF000000"/>
        <rFont val="Noto Sans CJK SC"/>
        <family val="2"/>
      </rPr>
      <t xml:space="preserve">機械及設備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淨額</t>
    </r>
    <r>
      <rPr>
        <sz val="11"/>
        <color rgb="FF000000"/>
        <rFont val="微軟正黑體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</si>
  <si>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交通及運輸設備</t>
    </r>
    <r>
      <rPr>
        <sz val="11"/>
        <color rgb="FF000000"/>
        <rFont val="微軟正黑體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淨額</t>
    </r>
    <r>
      <rPr>
        <sz val="11"/>
        <color rgb="FF000000"/>
        <rFont val="微軟正黑體"/>
        <family val="0"/>
        <charset val="1"/>
      </rPr>
      <t xml:space="preserve">)</t>
    </r>
  </si>
  <si>
    <t xml:space="preserve">購建中固定資產</t>
  </si>
  <si>
    <t xml:space="preserve">存入保證金</t>
  </si>
  <si>
    <t xml:space="preserve">應付保管款</t>
  </si>
  <si>
    <r>
      <rPr>
        <sz val="10"/>
        <color rgb="FF595959"/>
        <rFont val="Noto Sans CJK SC"/>
        <family val="2"/>
      </rPr>
      <t xml:space="preserve">提示：固定資產淨額＝原值＋累計折舊（累計折舊為負數）。例：機械及設備 </t>
    </r>
    <r>
      <rPr>
        <sz val="10"/>
        <color rgb="FF595959"/>
        <rFont val="微軟正黑體"/>
        <family val="0"/>
        <charset val="1"/>
      </rPr>
      <t xml:space="preserve">321,398,243</t>
    </r>
    <r>
      <rPr>
        <sz val="10"/>
        <color rgb="FF595959"/>
        <rFont val="Noto Sans CJK SC"/>
        <family val="2"/>
      </rPr>
      <t xml:space="preserve">＋</t>
    </r>
    <r>
      <rPr>
        <sz val="10"/>
        <color rgb="FF595959"/>
        <rFont val="微軟正黑體"/>
        <family val="0"/>
        <charset val="1"/>
      </rPr>
      <t xml:space="preserve">(-182,733,123)</t>
    </r>
    <r>
      <rPr>
        <sz val="10"/>
        <color rgb="FF59595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</si>
</sst>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%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00000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微軟正黑體"/>
      <family val="0"/>
      <charset val="1"/>
    </font>
    <font>
      <b val="true"/>
      <sz val="14"/>
      <color rgb="FFC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微軟正黑體"/>
      <family val="0"/>
      <charset val="1"/>
    </font>
    <font>
      <b val="true"/>
      <sz val="14"/>
      <color rgb="FFC00000"/>
      <name val="微軟正黑體"/>
      <family val="0"/>
      <charset val="1"/>
    </font>
    <font>
      <sz val="11"/>
      <color rgb="FF0000FF"/>
      <name val="微軟正黑體"/>
      <family val="0"/>
      <charset val="1"/>
    </font>
    <font>
      <sz val="10"/>
      <color rgb="FF595959"/>
      <name val="Noto Sans CJK SC"/>
      <family val="2"/>
    </font>
    <font>
      <sz val="10"/>
      <color rgb="FF595959"/>
      <name val="微軟正黑體"/>
      <family val="0"/>
      <charset val="1"/>
    </font>
    <font>
      <b val="true"/>
      <sz val="11"/>
      <color rgb="FF0000FF"/>
      <name val="微軟正黑體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E8F2F9"/>
      </patternFill>
    </fill>
    <fill>
      <patternFill patternType="solid">
        <fgColor rgb="FFFFFF00"/>
        <bgColor rgb="FFFFFF00"/>
      </patternFill>
    </fill>
    <fill>
      <patternFill patternType="solid">
        <fgColor rgb="FFE8F2F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2F9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</row>
    <row r="4" customFormat="false" ht="33.75" hidden="false" customHeight="true" outlineLevel="0" collapsed="false">
      <c r="A4" s="2"/>
    </row>
    <row r="5" customFormat="false" ht="33.75" hidden="false" customHeight="true" outlineLevel="0" collapsed="false">
      <c r="A5" s="2" t="s">
        <v>2</v>
      </c>
    </row>
    <row r="6" customFormat="false" ht="33.75" hidden="false" customHeight="true" outlineLevel="0" collapsed="false">
      <c r="A6" s="2"/>
    </row>
    <row r="7" customFormat="false" ht="33.75" hidden="false" customHeight="true" outlineLevel="0" collapsed="false">
      <c r="A7" s="2" t="s">
        <v>3</v>
      </c>
    </row>
    <row r="8" customFormat="false" ht="33.75" hidden="false" customHeight="true" outlineLevel="0" collapsed="false">
      <c r="A8" s="2"/>
    </row>
    <row r="9" customFormat="false" ht="33.75" hidden="false" customHeight="true" outlineLevel="0" collapsed="false">
      <c r="A9" s="2" t="s">
        <v>4</v>
      </c>
    </row>
    <row r="10" customFormat="false" ht="33.75" hidden="false" customHeight="true" outlineLevel="0" collapsed="false">
      <c r="A10" s="2" t="s">
        <v>5</v>
      </c>
    </row>
    <row r="11" customFormat="false" ht="33.75" hidden="false" customHeight="true" outlineLevel="0" collapsed="false">
      <c r="A11" s="2" t="s">
        <v>6</v>
      </c>
    </row>
    <row r="12" customFormat="false" ht="33.75" hidden="false" customHeight="true" outlineLevel="0" collapsed="false">
      <c r="A12" s="2" t="s">
        <v>7</v>
      </c>
    </row>
    <row r="13" customFormat="false" ht="33.75" hidden="false" customHeight="true" outlineLevel="0" collapsed="false">
      <c r="A13" s="2" t="s">
        <v>8</v>
      </c>
    </row>
    <row r="14" customFormat="false" ht="33.75" hidden="false" customHeight="true" outlineLevel="0" collapsed="false">
      <c r="A14" s="2"/>
    </row>
    <row r="15" customFormat="false" ht="33.75" hidden="false" customHeight="true" outlineLevel="0" collapsed="false">
      <c r="A15" s="2" t="s">
        <v>9</v>
      </c>
    </row>
    <row r="16" customFormat="false" ht="33.75" hidden="false" customHeight="true" outlineLevel="0" collapsed="false">
      <c r="A16" s="2"/>
    </row>
    <row r="17" customFormat="false" ht="33.75" hidden="false" customHeight="true" outlineLevel="0" collapsed="false">
      <c r="A17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4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3" t="s">
        <v>11</v>
      </c>
    </row>
    <row r="3" customFormat="false" ht="17.15" hidden="false" customHeight="false" outlineLevel="0" collapsed="false">
      <c r="A3" s="4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customFormat="false" ht="17.15" hidden="false" customHeight="false" outlineLevel="0" collapsed="false">
      <c r="A5" s="6" t="n">
        <v>1</v>
      </c>
      <c r="B5" s="6" t="s">
        <v>19</v>
      </c>
      <c r="C5" s="7" t="s">
        <v>20</v>
      </c>
      <c r="D5" s="8"/>
      <c r="E5" s="8"/>
      <c r="F5" s="8"/>
    </row>
    <row r="6" customFormat="false" ht="32.8" hidden="false" customHeight="false" outlineLevel="0" collapsed="false">
      <c r="A6" s="7" t="n">
        <v>2</v>
      </c>
      <c r="B6" s="6" t="s">
        <v>21</v>
      </c>
      <c r="C6" s="6" t="s">
        <v>22</v>
      </c>
      <c r="D6" s="8"/>
      <c r="E6" s="8"/>
      <c r="F6" s="8"/>
    </row>
    <row r="7" customFormat="false" ht="17.15" hidden="false" customHeight="false" outlineLevel="0" collapsed="false">
      <c r="A7" s="7" t="n">
        <v>3</v>
      </c>
      <c r="B7" s="6" t="s">
        <v>23</v>
      </c>
      <c r="C7" s="7" t="s">
        <v>24</v>
      </c>
      <c r="D7" s="8"/>
      <c r="E7" s="8"/>
      <c r="F7" s="8"/>
    </row>
    <row r="8" customFormat="false" ht="17.15" hidden="false" customHeight="false" outlineLevel="0" collapsed="false">
      <c r="A8" s="7" t="n">
        <v>4</v>
      </c>
      <c r="B8" s="6" t="s">
        <v>25</v>
      </c>
      <c r="C8" s="7" t="s">
        <v>26</v>
      </c>
      <c r="D8" s="8"/>
      <c r="E8" s="8"/>
      <c r="F8" s="8"/>
    </row>
    <row r="9" customFormat="false" ht="17.15" hidden="false" customHeight="false" outlineLevel="0" collapsed="false">
      <c r="A9" s="7" t="n">
        <v>5</v>
      </c>
      <c r="B9" s="6" t="s">
        <v>27</v>
      </c>
      <c r="C9" s="7" t="s">
        <v>28</v>
      </c>
      <c r="D9" s="8"/>
      <c r="E9" s="8"/>
      <c r="F9" s="8"/>
    </row>
    <row r="11" customFormat="false" ht="17.15" hidden="false" customHeight="false" outlineLevel="0" collapsed="false">
      <c r="A11" s="4" t="s">
        <v>29</v>
      </c>
    </row>
    <row r="12" customFormat="false" ht="36" hidden="false" customHeight="true" outlineLevel="0" collapsed="false">
      <c r="A12" s="9" t="s">
        <v>30</v>
      </c>
      <c r="B12" s="10"/>
      <c r="C12" s="10"/>
      <c r="D12" s="10"/>
      <c r="E12" s="10"/>
      <c r="F12" s="10"/>
    </row>
    <row r="13" customFormat="false" ht="36" hidden="false" customHeight="true" outlineLevel="0" collapsed="false">
      <c r="A13" s="9" t="s">
        <v>31</v>
      </c>
      <c r="B13" s="10"/>
      <c r="C13" s="10"/>
      <c r="D13" s="10"/>
      <c r="E13" s="10"/>
      <c r="F13" s="10"/>
    </row>
    <row r="14" customFormat="false" ht="36" hidden="false" customHeight="true" outlineLevel="0" collapsed="false">
      <c r="A14" s="9" t="s">
        <v>32</v>
      </c>
      <c r="B14" s="10"/>
      <c r="C14" s="10"/>
      <c r="D14" s="10"/>
      <c r="E14" s="10"/>
      <c r="F14" s="10"/>
    </row>
    <row r="15" customFormat="false" ht="36" hidden="false" customHeight="true" outlineLevel="0" collapsed="false">
      <c r="A15" s="9" t="s">
        <v>33</v>
      </c>
      <c r="B15" s="10"/>
      <c r="C15" s="10"/>
      <c r="D15" s="10"/>
      <c r="E15" s="10"/>
      <c r="F15" s="10"/>
    </row>
    <row r="17" customFormat="false" ht="17.15" hidden="false" customHeight="false" outlineLevel="0" collapsed="false">
      <c r="A17" s="4" t="s">
        <v>34</v>
      </c>
    </row>
    <row r="18" customFormat="false" ht="60" hidden="false" customHeight="true" outlineLevel="0" collapsed="false">
      <c r="A18" s="9" t="s">
        <v>35</v>
      </c>
      <c r="B18" s="10"/>
      <c r="C18" s="10"/>
      <c r="D18" s="10"/>
      <c r="E18" s="10"/>
      <c r="F18" s="10"/>
    </row>
    <row r="19" customFormat="false" ht="21.75" hidden="false" customHeight="true" outlineLevel="0" collapsed="false">
      <c r="A19" s="9" t="s">
        <v>36</v>
      </c>
      <c r="B19" s="10"/>
      <c r="C19" s="10"/>
      <c r="D19" s="10"/>
      <c r="E19" s="10"/>
      <c r="F19" s="10"/>
    </row>
  </sheetData>
  <mergeCells count="6">
    <mergeCell ref="B12:F12"/>
    <mergeCell ref="B13:F13"/>
    <mergeCell ref="B14:F14"/>
    <mergeCell ref="B15:F15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3" t="s">
        <v>37</v>
      </c>
    </row>
    <row r="3" customFormat="false" ht="31.3" hidden="false" customHeight="false" outlineLevel="0" collapsed="false">
      <c r="A3" s="11" t="s">
        <v>38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</row>
    <row r="4" customFormat="false" ht="17.15" hidden="false" customHeight="false" outlineLevel="0" collapsed="false">
      <c r="A4" s="12" t="s">
        <v>46</v>
      </c>
      <c r="B4" s="13" t="n">
        <v>938478000</v>
      </c>
      <c r="C4" s="13" t="n">
        <v>906374878</v>
      </c>
      <c r="D4" s="13" t="n">
        <v>0</v>
      </c>
      <c r="E4" s="14" t="n">
        <f aca="false">IF(B4="","",C4+D4)</f>
        <v>906374878</v>
      </c>
      <c r="F4" s="15" t="n">
        <f aca="false">IF(OR(B4="",B4=0),"",ROUND(E4/B4*100,2))</f>
        <v>96.58</v>
      </c>
      <c r="G4" s="14" t="n">
        <f aca="false">IF(B4="","",B4-E4)</f>
        <v>32103122</v>
      </c>
      <c r="H4" s="12" t="str">
        <f aca="false">IF(B4="","","占預算數"&amp;IF(F4=100,"100",TEXT(F4,"0.00"))&amp;"%，"&amp;IF(G4=0,"無賸餘數。","賸餘數"&amp;TEXT(G4,"#,##0")&amp;"元。"))</f>
        <v>占預算數96.58%，賸餘數32,103,122元。</v>
      </c>
    </row>
    <row r="5" customFormat="false" ht="15" hidden="false" customHeight="false" outlineLevel="0" collapsed="false">
      <c r="A5" s="16" t="s">
        <v>47</v>
      </c>
      <c r="B5" s="17"/>
      <c r="C5" s="17"/>
      <c r="D5" s="17"/>
      <c r="E5" s="18" t="str">
        <f aca="false">IF(B5="","",C5+D5)</f>
        <v/>
      </c>
      <c r="F5" s="19" t="str">
        <f aca="false">IF(OR(B5="",B5=0),"",ROUND(E5/B5*100,2))</f>
        <v/>
      </c>
      <c r="G5" s="18" t="str">
        <f aca="false">IF(B5="","",B5-E5)</f>
        <v/>
      </c>
      <c r="H5" s="16" t="str">
        <f aca="false">IF(B5="","","占預算數"&amp;IF(F5=100,"100",TEXT(F5,"0.00"))&amp;"%，"&amp;IF(G5=0,"無賸餘數。","賸餘數"&amp;TEXT(G5,"#,##0")&amp;"元。"))</f>
        <v/>
      </c>
    </row>
    <row r="6" customFormat="false" ht="17.15" hidden="false" customHeight="false" outlineLevel="0" collapsed="false">
      <c r="A6" s="20" t="s">
        <v>48</v>
      </c>
      <c r="B6" s="17"/>
      <c r="C6" s="17"/>
      <c r="D6" s="17"/>
      <c r="E6" s="18" t="str">
        <f aca="false">IF(B6="","",C6+D6)</f>
        <v/>
      </c>
      <c r="F6" s="19" t="str">
        <f aca="false">IF(OR(B6="",B6=0),"",ROUND(E6/B6*100,2))</f>
        <v/>
      </c>
      <c r="G6" s="18" t="str">
        <f aca="false">IF(B6="","",B6-E6)</f>
        <v/>
      </c>
      <c r="H6" s="16" t="str">
        <f aca="false">IF(B6="","","占預算數"&amp;IF(F6=100,"100",TEXT(F6,"0.00"))&amp;"%，"&amp;IF(G6=0,"無賸餘數。","賸餘數"&amp;TEXT(G6,"#,##0")&amp;"元。"))</f>
        <v/>
      </c>
    </row>
    <row r="7" customFormat="false" ht="15" hidden="false" customHeight="false" outlineLevel="0" collapsed="false">
      <c r="A7" s="16" t="s">
        <v>49</v>
      </c>
      <c r="B7" s="17"/>
      <c r="C7" s="17"/>
      <c r="D7" s="17"/>
      <c r="E7" s="18" t="str">
        <f aca="false">IF(B7="","",C7+D7)</f>
        <v/>
      </c>
      <c r="F7" s="19" t="str">
        <f aca="false">IF(OR(B7="",B7=0),"",ROUND(E7/B7*100,2))</f>
        <v/>
      </c>
      <c r="G7" s="18" t="str">
        <f aca="false">IF(B7="","",B7-E7)</f>
        <v/>
      </c>
      <c r="H7" s="16" t="str">
        <f aca="false">IF(B7="","","占預算數"&amp;IF(F7=100,"100",TEXT(F7,"0.00"))&amp;"%，"&amp;IF(G7=0,"無賸餘數。","賸餘數"&amp;TEXT(G7,"#,##0")&amp;"元。"))</f>
        <v/>
      </c>
    </row>
    <row r="9" customFormat="false" ht="15" hidden="false" customHeight="false" outlineLevel="0" collapsed="false">
      <c r="A9" s="2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21.6" hidden="false" customHeight="false" outlineLevel="0" collapsed="false">
      <c r="A1" s="3" t="s">
        <v>51</v>
      </c>
    </row>
    <row r="3" customFormat="false" ht="15" hidden="false" customHeight="false" outlineLevel="0" collapsed="false">
      <c r="A3" s="4" t="s">
        <v>52</v>
      </c>
      <c r="B3" s="22" t="n">
        <v>0.2</v>
      </c>
    </row>
    <row r="5" customFormat="false" ht="15" hidden="false" customHeight="false" outlineLevel="0" collapsed="false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</row>
    <row r="6" customFormat="false" ht="15" hidden="false" customHeight="false" outlineLevel="0" collapsed="false">
      <c r="A6" s="12" t="s">
        <v>59</v>
      </c>
      <c r="B6" s="13" t="n">
        <v>648196067</v>
      </c>
      <c r="C6" s="13" t="n">
        <v>650517129</v>
      </c>
      <c r="D6" s="14" t="n">
        <f aca="false">IF(OR(B6="",C6=""),"",B6-C6)</f>
        <v>-2321062</v>
      </c>
      <c r="E6" s="23" t="n">
        <f aca="false">IF(OR(B6="",C6="",C6=0),"",D6/C6)</f>
        <v>-0.00356802595431734</v>
      </c>
      <c r="F6" s="12" t="str">
        <f aca="false">IF(E6="","",IF(D6=0,"無變動",IF(ABS(E6)&gt;=$B$3,"須說明","未達門檻")))</f>
        <v>未達門檻</v>
      </c>
    </row>
    <row r="7" customFormat="false" ht="17.15" hidden="false" customHeight="false" outlineLevel="0" collapsed="false">
      <c r="A7" s="16" t="s">
        <v>60</v>
      </c>
      <c r="B7" s="17"/>
      <c r="C7" s="17"/>
      <c r="D7" s="18" t="str">
        <f aca="false">IF(OR(B7="",C7=""),"",B7-C7)</f>
        <v/>
      </c>
      <c r="E7" s="24" t="str">
        <f aca="false">IF(OR(B7="",C7="",C7=0),"",D7/C7)</f>
        <v/>
      </c>
      <c r="F7" s="16" t="str">
        <f aca="false">IF(E7="","",IF(D7=0,"無變動",IF(ABS(E7)&gt;=$B$3,"須說明","未達門檻")))</f>
        <v/>
      </c>
    </row>
    <row r="8" customFormat="false" ht="17.15" hidden="false" customHeight="false" outlineLevel="0" collapsed="false">
      <c r="A8" s="16" t="s">
        <v>61</v>
      </c>
      <c r="B8" s="17"/>
      <c r="C8" s="17"/>
      <c r="D8" s="18" t="str">
        <f aca="false">IF(OR(B8="",C8=""),"",B8-C8)</f>
        <v/>
      </c>
      <c r="E8" s="24" t="str">
        <f aca="false">IF(OR(B8="",C8="",C8=0),"",D8/C8)</f>
        <v/>
      </c>
      <c r="F8" s="16" t="str">
        <f aca="false">IF(E8="","",IF(D8=0,"無變動",IF(ABS(E8)&gt;=$B$3,"須說明","未達門檻")))</f>
        <v/>
      </c>
    </row>
    <row r="9" customFormat="false" ht="15" hidden="false" customHeight="false" outlineLevel="0" collapsed="false">
      <c r="A9" s="16" t="s">
        <v>62</v>
      </c>
      <c r="B9" s="17"/>
      <c r="C9" s="17"/>
      <c r="D9" s="18" t="str">
        <f aca="false">IF(OR(B9="",C9=""),"",B9-C9)</f>
        <v/>
      </c>
      <c r="E9" s="24" t="str">
        <f aca="false">IF(OR(B9="",C9="",C9=0),"",D9/C9)</f>
        <v/>
      </c>
      <c r="F9" s="16" t="str">
        <f aca="false">IF(E9="","",IF(D9=0,"無變動",IF(ABS(E9)&gt;=$B$3,"須說明","未達門檻")))</f>
        <v/>
      </c>
    </row>
    <row r="10" customFormat="false" ht="15" hidden="false" customHeight="false" outlineLevel="0" collapsed="false">
      <c r="A10" s="16" t="s">
        <v>63</v>
      </c>
      <c r="B10" s="17"/>
      <c r="C10" s="17"/>
      <c r="D10" s="18" t="str">
        <f aca="false">IF(OR(B10="",C10=""),"",B10-C10)</f>
        <v/>
      </c>
      <c r="E10" s="24" t="str">
        <f aca="false">IF(OR(B10="",C10="",C10=0),"",D10/C10)</f>
        <v/>
      </c>
      <c r="F10" s="16" t="str">
        <f aca="false">IF(E10="","",IF(D10=0,"無變動",IF(ABS(E10)&gt;=$B$3,"須說明","未達門檻")))</f>
        <v/>
      </c>
    </row>
    <row r="11" customFormat="false" ht="15" hidden="false" customHeight="false" outlineLevel="0" collapsed="false">
      <c r="A11" s="16" t="s">
        <v>64</v>
      </c>
      <c r="B11" s="17"/>
      <c r="C11" s="17"/>
      <c r="D11" s="18" t="str">
        <f aca="false">IF(OR(B11="",C11=""),"",B11-C11)</f>
        <v/>
      </c>
      <c r="E11" s="24" t="str">
        <f aca="false">IF(OR(B11="",C11="",C11=0),"",D11/C11)</f>
        <v/>
      </c>
      <c r="F11" s="16" t="str">
        <f aca="false">IF(E11="","",IF(D11=0,"無變動",IF(ABS(E11)&gt;=$B$3,"須說明","未達門檻")))</f>
        <v/>
      </c>
    </row>
    <row r="13" customFormat="false" ht="15" hidden="false" customHeight="false" outlineLevel="0" collapsed="false">
      <c r="A13" s="2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2026-10-26T12:43:19Z</dcterms:created>
  <dc:creator>openpyxl</dc:creator>
  <dc:description/>
  <dc:language>en-US</dc:language>
  <cp:lastModifiedBy/>
  <dcterms:modified xsi:type="dcterms:W3CDTF">2026-10-26T12:43:19Z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